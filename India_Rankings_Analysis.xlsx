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UPA vs NDA Summary" sheetId="2" state="visible" r:id="rId4"/>
    <sheet name="Sources &amp; Methodology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<sst xmlns="http://schemas.openxmlformats.org/spreadsheetml/2006/main" count="113" uniqueCount="69">
  <si>
    <t xml:space="preserve">Year</t>
  </si>
  <si>
    <t xml:space="preserve">PM</t>
  </si>
  <si>
    <t xml:space="preserve">Party</t>
  </si>
  <si>
    <t xml:space="preserve">HDI_Rank</t>
  </si>
  <si>
    <t xml:space="preserve">HDI_Value</t>
  </si>
  <si>
    <t xml:space="preserve">Poverty_Rate_Pct</t>
  </si>
  <si>
    <t xml:space="preserve">Unemployment_Rate_Pct</t>
  </si>
  <si>
    <t xml:space="preserve">CPI_Corruption_Rank</t>
  </si>
  <si>
    <t xml:space="preserve">CPI_Score</t>
  </si>
  <si>
    <t xml:space="preserve">GTI_Terrorism_Rank</t>
  </si>
  <si>
    <t xml:space="preserve">GTI_Score</t>
  </si>
  <si>
    <t xml:space="preserve">RWB_PressFreedom_Rank</t>
  </si>
  <si>
    <t xml:space="preserve">RWB_Score</t>
  </si>
  <si>
    <t xml:space="preserve">AQI_Avg_PM2.5</t>
  </si>
  <si>
    <t xml:space="preserve">Passport_Rank_Henley</t>
  </si>
  <si>
    <t xml:space="preserve">INR_per_USD</t>
  </si>
  <si>
    <t xml:space="preserve">Manmohan Singh</t>
  </si>
  <si>
    <t xml:space="preserve">INC(UPA)</t>
  </si>
  <si>
    <t xml:space="preserve">Narendra Modi</t>
  </si>
  <si>
    <t xml:space="preserve">BJP(NDA)</t>
  </si>
  <si>
    <t xml:space="preserve">India Rankings — UPA (Manmohan Singh) vs NDA (Narendra Modi)</t>
  </si>
  <si>
    <t xml:space="preserve">Metric</t>
  </si>
  <si>
    <t xml:space="preserve">UPA Avg (2004-2013)</t>
  </si>
  <si>
    <t xml:space="preserve">NDA Avg (2014-2026)</t>
  </si>
  <si>
    <t xml:space="preserve">Source</t>
  </si>
  <si>
    <t xml:space="preserve">HDI Rank (lower=better)</t>
  </si>
  <si>
    <t xml:space="preserve">UNDP HDR</t>
  </si>
  <si>
    <t xml:space="preserve">Poverty Rate %</t>
  </si>
  <si>
    <t xml:space="preserve">World Bank</t>
  </si>
  <si>
    <t xml:space="preserve">Unemployment Rate %</t>
  </si>
  <si>
    <t xml:space="preserve">ILO/World Bank</t>
  </si>
  <si>
    <t xml:space="preserve">Corruption Score (CPI, higher=cleaner)</t>
  </si>
  <si>
    <t xml:space="preserve">Transparency International</t>
  </si>
  <si>
    <t xml:space="preserve">Passport Rank (Henley, lower=better)</t>
  </si>
  <si>
    <t xml:space="preserve">Henley &amp; Partners</t>
  </si>
  <si>
    <t xml:space="preserve">INR per USD</t>
  </si>
  <si>
    <t xml:space="preserve">RBI</t>
  </si>
  <si>
    <t xml:space="preserve">Avg PM2.5 (pollution)</t>
  </si>
  <si>
    <t xml:space="preserve">IQAir</t>
  </si>
  <si>
    <t xml:space="preserve">Terrorism Index Score (GTI, lower=safer)</t>
  </si>
  <si>
    <t xml:space="preserve">IEP (Global Terrorism Index)</t>
  </si>
  <si>
    <t xml:space="preserve">Indicator</t>
  </si>
  <si>
    <t xml:space="preserve">Publisher</t>
  </si>
  <si>
    <t xml:space="preserve">Notes</t>
  </si>
  <si>
    <t xml:space="preserve">Human Development Index (HDI)</t>
  </si>
  <si>
    <t xml:space="preserve">UNDP Human Development Report Office</t>
  </si>
  <si>
    <t xml:space="preserve">Annual report; ranks restated yearly</t>
  </si>
  <si>
    <t xml:space="preserve">Poverty Rate</t>
  </si>
  <si>
    <t xml:space="preserve">World Bank Poverty &amp; Inequality Platform</t>
  </si>
  <si>
    <t xml:space="preserve">Based on PLFS/consumption survey nowcasts</t>
  </si>
  <si>
    <t xml:space="preserve">Unemployment Rate</t>
  </si>
  <si>
    <t xml:space="preserve">ILO Modelled Estimates / World Bank</t>
  </si>
  <si>
    <t xml:space="preserve">Annual modelled estimate</t>
  </si>
  <si>
    <t xml:space="preserve">Corruption Perceptions Index</t>
  </si>
  <si>
    <t xml:space="preserve">0-10 scale till 2011, 0-100 from 2012</t>
  </si>
  <si>
    <t xml:space="preserve">Global Terrorism Index</t>
  </si>
  <si>
    <t xml:space="preserve">Institute for Economics &amp; Peace</t>
  </si>
  <si>
    <t xml:space="preserve">Published from 2012 onward</t>
  </si>
  <si>
    <t xml:space="preserve">Press Freedom Index</t>
  </si>
  <si>
    <t xml:space="preserve">Reporters Without Borders (RSF)</t>
  </si>
  <si>
    <t xml:space="preserve">Annual ranking</t>
  </si>
  <si>
    <t xml:space="preserve">Air Quality (PM2.5)</t>
  </si>
  <si>
    <t xml:space="preserve">IQAir World Air Quality Report</t>
  </si>
  <si>
    <t xml:space="preserve">From 2016 onward, reliable data exists</t>
  </si>
  <si>
    <t xml:space="preserve">Henley Passport Index</t>
  </si>
  <si>
    <t xml:space="preserve">Based on IATA visa-free destination data</t>
  </si>
  <si>
    <t xml:space="preserve">INR vs USD</t>
  </si>
  <si>
    <t xml:space="preserve">Reserve Bank of India (RBI)</t>
  </si>
  <si>
    <t xml:space="preserve">Annual average exchange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</si>
</sst>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HDI Rank Over Time (lower=better)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'Raw Data'!D1</c:f>
              <c:strCache>
                <c:ptCount val="1"/>
                <c:pt idx="0">
                  <c:v>HDI_Rank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Data'!$A$2:$A$24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'Raw Data'!$D$2:$D$24</c:f>
              <c:numCache>
                <c:formatCode>General</c:formatCode>
                <c:ptCount val="23"/>
                <c:pt idx="0">
                  <c:v>127</c:v>
                </c:pt>
                <c:pt idx="1">
                  <c:v>128</c:v>
                </c:pt>
                <c:pt idx="2">
                  <c:v>126</c:v>
                </c:pt>
                <c:pt idx="3">
                  <c:v>128</c:v>
                </c:pt>
                <c:pt idx="4">
                  <c:v>132</c:v>
                </c:pt>
                <c:pt idx="5">
                  <c:v>134</c:v>
                </c:pt>
                <c:pt idx="6">
                  <c:v>119</c:v>
                </c:pt>
                <c:pt idx="7">
                  <c:v>134</c:v>
                </c:pt>
                <c:pt idx="8">
                  <c:v>136</c:v>
                </c:pt>
                <c:pt idx="9">
                  <c:v>135</c:v>
                </c:pt>
                <c:pt idx="10">
                  <c:v>130</c:v>
                </c:pt>
                <c:pt idx="11">
                  <c:v>130</c:v>
                </c:pt>
                <c:pt idx="12">
                  <c:v>131</c:v>
                </c:pt>
                <c:pt idx="13">
                  <c:v>130</c:v>
                </c:pt>
                <c:pt idx="14">
                  <c:v>130</c:v>
                </c:pt>
                <c:pt idx="15">
                  <c:v>129</c:v>
                </c:pt>
                <c:pt idx="16">
                  <c:v>131</c:v>
                </c:pt>
                <c:pt idx="17">
                  <c:v>132</c:v>
                </c:pt>
                <c:pt idx="18">
                  <c:v>135</c:v>
                </c:pt>
                <c:pt idx="19">
                  <c:v>132</c:v>
                </c:pt>
                <c:pt idx="20">
                  <c:v>133</c:v>
                </c:pt>
                <c:pt idx="21">
                  <c:v>130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802573"/>
        <c:axId val="89691571"/>
      </c:lineChart>
      <c:catAx>
        <c:axId val="508025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91571"/>
        <c:crosses val="autoZero"/>
        <c:auto val="1"/>
        <c:lblAlgn val="ctr"/>
        <c:lblOffset val="100"/>
        <c:noMultiLvlLbl val="0"/>
      </c:catAx>
      <c:valAx>
        <c:axId val="89691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HDI_Rank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02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Passport Rank Over Time (lower=better)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'Raw Data'!O1</c:f>
              <c:strCache>
                <c:ptCount val="1"/>
                <c:pt idx="0">
                  <c:v>Passport_Rank_Henley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Data'!$A$2:$A$24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'Raw Data'!$O$2:$O$24</c:f>
              <c:numCache>
                <c:formatCode>General</c:formatCode>
                <c:ptCount val="23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73</c:v>
                </c:pt>
                <c:pt idx="4">
                  <c:v>75</c:v>
                </c:pt>
                <c:pt idx="5">
                  <c:v>75</c:v>
                </c:pt>
                <c:pt idx="6">
                  <c:v>77</c:v>
                </c:pt>
                <c:pt idx="7">
                  <c:v>78</c:v>
                </c:pt>
                <c:pt idx="8">
                  <c:v>82</c:v>
                </c:pt>
                <c:pt idx="9">
                  <c:v>74</c:v>
                </c:pt>
                <c:pt idx="10">
                  <c:v>76</c:v>
                </c:pt>
                <c:pt idx="11">
                  <c:v>88</c:v>
                </c:pt>
                <c:pt idx="12">
                  <c:v>85</c:v>
                </c:pt>
                <c:pt idx="13">
                  <c:v>87</c:v>
                </c:pt>
                <c:pt idx="14">
                  <c:v>81</c:v>
                </c:pt>
                <c:pt idx="15">
                  <c:v>82</c:v>
                </c:pt>
                <c:pt idx="16">
                  <c:v>82</c:v>
                </c:pt>
                <c:pt idx="17">
                  <c:v>90</c:v>
                </c:pt>
                <c:pt idx="18">
                  <c:v>83</c:v>
                </c:pt>
                <c:pt idx="19">
                  <c:v>84</c:v>
                </c:pt>
                <c:pt idx="20">
                  <c:v>80</c:v>
                </c:pt>
                <c:pt idx="21">
                  <c:v>85</c:v>
                </c:pt>
                <c:pt idx="22">
                  <c:v>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458607"/>
        <c:axId val="21130064"/>
      </c:lineChart>
      <c:catAx>
        <c:axId val="62458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30064"/>
        <c:crosses val="autoZero"/>
        <c:auto val="1"/>
        <c:lblAlgn val="ctr"/>
        <c:lblOffset val="100"/>
        <c:noMultiLvlLbl val="0"/>
      </c:catAx>
      <c:valAx>
        <c:axId val="211300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Passport_Rank_Henley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58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Corruption Score Over Time (higher=cleaner)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'Raw Data'!I1</c:f>
              <c:strCache>
                <c:ptCount val="1"/>
                <c:pt idx="0">
                  <c:v>CPI_Score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Data'!$A$2:$A$24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'Raw Data'!$I$2:$I$24</c:f>
              <c:numCache>
                <c:formatCode>General</c:formatCode>
                <c:ptCount val="23"/>
                <c:pt idx="0">
                  <c:v>2.8</c:v>
                </c:pt>
                <c:pt idx="1">
                  <c:v>2.9</c:v>
                </c:pt>
                <c:pt idx="2">
                  <c:v>3.3</c:v>
                </c:pt>
                <c:pt idx="3">
                  <c:v>3.5</c:v>
                </c:pt>
                <c:pt idx="4">
                  <c:v>3.4</c:v>
                </c:pt>
                <c:pt idx="5">
                  <c:v>3.4</c:v>
                </c:pt>
                <c:pt idx="6">
                  <c:v>3.3</c:v>
                </c:pt>
                <c:pt idx="7">
                  <c:v>3.1</c:v>
                </c:pt>
                <c:pt idx="8">
                  <c:v>36</c:v>
                </c:pt>
                <c:pt idx="9">
                  <c:v>36</c:v>
                </c:pt>
                <c:pt idx="10">
                  <c:v>38</c:v>
                </c:pt>
                <c:pt idx="11">
                  <c:v>38</c:v>
                </c:pt>
                <c:pt idx="12">
                  <c:v>40</c:v>
                </c:pt>
                <c:pt idx="13">
                  <c:v>40</c:v>
                </c:pt>
                <c:pt idx="14">
                  <c:v>41</c:v>
                </c:pt>
                <c:pt idx="15">
                  <c:v>41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39</c:v>
                </c:pt>
                <c:pt idx="20">
                  <c:v>38</c:v>
                </c:pt>
                <c:pt idx="21">
                  <c:v>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025618"/>
        <c:axId val="58313691"/>
      </c:lineChart>
      <c:catAx>
        <c:axId val="260256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13691"/>
        <c:crosses val="autoZero"/>
        <c:auto val="1"/>
        <c:lblAlgn val="ctr"/>
        <c:lblOffset val="100"/>
        <c:noMultiLvlLbl val="0"/>
      </c:catAx>
      <c:valAx>
        <c:axId val="58313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CPI_Score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25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Rupee vs USD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'Raw Data'!P1</c:f>
              <c:strCache>
                <c:ptCount val="1"/>
                <c:pt idx="0">
                  <c:v>INR_per_USD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Data'!$A$2:$A$24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'Raw Data'!$P$2:$P$24</c:f>
              <c:numCache>
                <c:formatCode>General</c:formatCode>
                <c:ptCount val="23"/>
                <c:pt idx="0">
                  <c:v>45.3</c:v>
                </c:pt>
                <c:pt idx="1">
                  <c:v>44.1</c:v>
                </c:pt>
                <c:pt idx="2">
                  <c:v>45.3</c:v>
                </c:pt>
                <c:pt idx="3">
                  <c:v>41.3</c:v>
                </c:pt>
                <c:pt idx="4">
                  <c:v>43.5</c:v>
                </c:pt>
                <c:pt idx="5">
                  <c:v>48.4</c:v>
                </c:pt>
                <c:pt idx="6">
                  <c:v>45.7</c:v>
                </c:pt>
                <c:pt idx="7">
                  <c:v>46.7</c:v>
                </c:pt>
                <c:pt idx="8">
                  <c:v>53.4</c:v>
                </c:pt>
                <c:pt idx="9">
                  <c:v>58.6</c:v>
                </c:pt>
                <c:pt idx="10">
                  <c:v>61</c:v>
                </c:pt>
                <c:pt idx="11">
                  <c:v>64.2</c:v>
                </c:pt>
                <c:pt idx="12">
                  <c:v>67.2</c:v>
                </c:pt>
                <c:pt idx="13">
                  <c:v>65.1</c:v>
                </c:pt>
                <c:pt idx="14">
                  <c:v>68.4</c:v>
                </c:pt>
                <c:pt idx="15">
                  <c:v>70.4</c:v>
                </c:pt>
                <c:pt idx="16">
                  <c:v>74.1</c:v>
                </c:pt>
                <c:pt idx="17">
                  <c:v>73.9</c:v>
                </c:pt>
                <c:pt idx="18">
                  <c:v>80.4</c:v>
                </c:pt>
                <c:pt idx="19">
                  <c:v>82.8</c:v>
                </c:pt>
                <c:pt idx="20">
                  <c:v>83.7</c:v>
                </c:pt>
                <c:pt idx="21">
                  <c:v>86.5</c:v>
                </c:pt>
                <c:pt idx="22">
                  <c:v>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685156"/>
        <c:axId val="37318756"/>
      </c:lineChart>
      <c:catAx>
        <c:axId val="406851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18756"/>
        <c:crosses val="autoZero"/>
        <c:auto val="1"/>
        <c:lblAlgn val="ctr"/>
        <c:lblOffset val="100"/>
        <c:noMultiLvlLbl val="0"/>
      </c:catAx>
      <c:valAx>
        <c:axId val="37318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INR_per_USD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851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364320</xdr:colOff>
      <xdr:row>17</xdr:row>
      <xdr:rowOff>720</xdr:rowOff>
    </xdr:to>
    <xdr:graphicFrame>
      <xdr:nvGraphicFramePr>
        <xdr:cNvPr id="0" name="Chart 1"/>
        <xdr:cNvGraphicFramePr/>
      </xdr:nvGraphicFramePr>
      <xdr:xfrm>
        <a:off x="0" y="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10</xdr:col>
      <xdr:colOff>364320</xdr:colOff>
      <xdr:row>36</xdr:row>
      <xdr:rowOff>720</xdr:rowOff>
    </xdr:to>
    <xdr:graphicFrame>
      <xdr:nvGraphicFramePr>
        <xdr:cNvPr id="1" name="Chart 2"/>
        <xdr:cNvGraphicFramePr/>
      </xdr:nvGraphicFramePr>
      <xdr:xfrm>
        <a:off x="0" y="3619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10</xdr:col>
      <xdr:colOff>364320</xdr:colOff>
      <xdr:row>55</xdr:row>
      <xdr:rowOff>720</xdr:rowOff>
    </xdr:to>
    <xdr:graphicFrame>
      <xdr:nvGraphicFramePr>
        <xdr:cNvPr id="2" name="Chart 3"/>
        <xdr:cNvGraphicFramePr/>
      </xdr:nvGraphicFramePr>
      <xdr:xfrm>
        <a:off x="0" y="72388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10</xdr:col>
      <xdr:colOff>364320</xdr:colOff>
      <xdr:row>74</xdr:row>
      <xdr:rowOff>1080</xdr:rowOff>
    </xdr:to>
    <xdr:graphicFrame>
      <xdr:nvGraphicFramePr>
        <xdr:cNvPr id="3" name="Chart 4"/>
        <xdr:cNvGraphicFramePr/>
      </xdr:nvGraphicFramePr>
      <xdr:xfrm>
        <a:off x="0" y="108586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4"/>
    <col collapsed="false" customWidth="true" hidden="false" outlineLevel="0" max="6" min="6" style="1" width="18"/>
    <col collapsed="false" customWidth="true" hidden="false" outlineLevel="0" max="7" min="7" style="1" width="23"/>
    <col collapsed="false" customWidth="true" hidden="false" outlineLevel="0" max="8" min="8" style="1" width="21"/>
    <col collapsed="false" customWidth="true" hidden="false" outlineLevel="0" max="9" min="9" style="1" width="14"/>
    <col collapsed="false" customWidth="true" hidden="false" outlineLevel="0" max="10" min="10" style="1" width="20"/>
    <col collapsed="false" customWidth="true" hidden="false" outlineLevel="0" max="11" min="11" style="1" width="14"/>
    <col collapsed="false" customWidth="true" hidden="false" outlineLevel="0" max="12" min="12" style="1" width="23"/>
    <col collapsed="false" customWidth="true" hidden="false" outlineLevel="0" max="13" min="13" style="1" width="14"/>
    <col collapsed="false" customWidth="true" hidden="false" outlineLevel="0" max="14" min="14" style="1" width="15"/>
    <col collapsed="false" customWidth="true" hidden="false" outlineLevel="0" max="15" min="15" style="1" width="22"/>
    <col collapsed="false" customWidth="true" hidden="false" outlineLevel="0" max="16" min="16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1" t="n">
        <v>2004</v>
      </c>
      <c r="B2" s="1" t="s">
        <v>16</v>
      </c>
      <c r="C2" s="1" t="s">
        <v>17</v>
      </c>
      <c r="D2" s="1" t="n">
        <v>127</v>
      </c>
      <c r="E2" s="1" t="n">
        <v>0.527</v>
      </c>
      <c r="F2" s="1" t="n">
        <v>38.6</v>
      </c>
      <c r="G2" s="1" t="n">
        <v>3.9</v>
      </c>
      <c r="H2" s="1" t="n">
        <v>90</v>
      </c>
      <c r="I2" s="1" t="n">
        <v>2.8</v>
      </c>
      <c r="O2" s="1" t="n">
        <v>71</v>
      </c>
      <c r="P2" s="1" t="n">
        <v>45.3</v>
      </c>
    </row>
    <row r="3" customFormat="false" ht="15" hidden="false" customHeight="true" outlineLevel="0" collapsed="false">
      <c r="A3" s="1" t="n">
        <v>2005</v>
      </c>
      <c r="B3" s="1" t="s">
        <v>16</v>
      </c>
      <c r="C3" s="1" t="s">
        <v>17</v>
      </c>
      <c r="D3" s="1" t="n">
        <v>128</v>
      </c>
      <c r="E3" s="1" t="n">
        <v>0.535</v>
      </c>
      <c r="F3" s="1" t="n">
        <v>37.2</v>
      </c>
      <c r="G3" s="1" t="n">
        <v>3.9</v>
      </c>
      <c r="H3" s="1" t="n">
        <v>88</v>
      </c>
      <c r="I3" s="1" t="n">
        <v>2.9</v>
      </c>
      <c r="L3" s="1" t="n">
        <v>106</v>
      </c>
      <c r="O3" s="1" t="n">
        <v>71</v>
      </c>
      <c r="P3" s="1" t="n">
        <v>44.1</v>
      </c>
    </row>
    <row r="4" customFormat="false" ht="15" hidden="false" customHeight="true" outlineLevel="0" collapsed="false">
      <c r="A4" s="1" t="n">
        <v>2006</v>
      </c>
      <c r="B4" s="1" t="s">
        <v>16</v>
      </c>
      <c r="C4" s="1" t="s">
        <v>17</v>
      </c>
      <c r="D4" s="1" t="n">
        <v>126</v>
      </c>
      <c r="E4" s="1" t="n">
        <v>0.545</v>
      </c>
      <c r="F4" s="1" t="n">
        <v>35.8</v>
      </c>
      <c r="G4" s="1" t="n">
        <v>3.8</v>
      </c>
      <c r="H4" s="1" t="n">
        <v>70</v>
      </c>
      <c r="I4" s="1" t="n">
        <v>3.3</v>
      </c>
      <c r="L4" s="1" t="n">
        <v>105</v>
      </c>
      <c r="O4" s="1" t="n">
        <v>71</v>
      </c>
      <c r="P4" s="1" t="n">
        <v>45.3</v>
      </c>
    </row>
    <row r="5" customFormat="false" ht="15" hidden="false" customHeight="true" outlineLevel="0" collapsed="false">
      <c r="A5" s="1" t="n">
        <v>2007</v>
      </c>
      <c r="B5" s="1" t="s">
        <v>16</v>
      </c>
      <c r="C5" s="1" t="s">
        <v>17</v>
      </c>
      <c r="D5" s="1" t="n">
        <v>128</v>
      </c>
      <c r="E5" s="1" t="n">
        <v>0.554</v>
      </c>
      <c r="F5" s="1" t="n">
        <v>34.4</v>
      </c>
      <c r="G5" s="1" t="n">
        <v>3.7</v>
      </c>
      <c r="H5" s="1" t="n">
        <v>72</v>
      </c>
      <c r="I5" s="1" t="n">
        <v>3.5</v>
      </c>
      <c r="L5" s="1" t="n">
        <v>120</v>
      </c>
      <c r="O5" s="1" t="n">
        <v>73</v>
      </c>
      <c r="P5" s="1" t="n">
        <v>41.3</v>
      </c>
    </row>
    <row r="6" customFormat="false" ht="15" hidden="false" customHeight="true" outlineLevel="0" collapsed="false">
      <c r="A6" s="1" t="n">
        <v>2008</v>
      </c>
      <c r="B6" s="1" t="s">
        <v>16</v>
      </c>
      <c r="C6" s="1" t="s">
        <v>17</v>
      </c>
      <c r="D6" s="1" t="n">
        <v>132</v>
      </c>
      <c r="E6" s="1" t="n">
        <v>0.562</v>
      </c>
      <c r="F6" s="1" t="n">
        <v>33</v>
      </c>
      <c r="G6" s="1" t="n">
        <v>3.7</v>
      </c>
      <c r="H6" s="1" t="n">
        <v>85</v>
      </c>
      <c r="I6" s="1" t="n">
        <v>3.4</v>
      </c>
      <c r="L6" s="1" t="n">
        <v>118</v>
      </c>
      <c r="O6" s="1" t="n">
        <v>75</v>
      </c>
      <c r="P6" s="1" t="n">
        <v>43.5</v>
      </c>
    </row>
    <row r="7" customFormat="false" ht="15" hidden="false" customHeight="true" outlineLevel="0" collapsed="false">
      <c r="A7" s="1" t="n">
        <v>2009</v>
      </c>
      <c r="B7" s="1" t="s">
        <v>16</v>
      </c>
      <c r="C7" s="1" t="s">
        <v>17</v>
      </c>
      <c r="D7" s="1" t="n">
        <v>134</v>
      </c>
      <c r="E7" s="1" t="n">
        <v>0.57</v>
      </c>
      <c r="F7" s="1" t="n">
        <v>31.6</v>
      </c>
      <c r="G7" s="1" t="n">
        <v>4</v>
      </c>
      <c r="H7" s="1" t="n">
        <v>84</v>
      </c>
      <c r="I7" s="1" t="n">
        <v>3.4</v>
      </c>
      <c r="L7" s="1" t="n">
        <v>105</v>
      </c>
      <c r="O7" s="1" t="n">
        <v>75</v>
      </c>
      <c r="P7" s="1" t="n">
        <v>48.4</v>
      </c>
    </row>
    <row r="8" customFormat="false" ht="15" hidden="false" customHeight="true" outlineLevel="0" collapsed="false">
      <c r="A8" s="1" t="n">
        <v>2010</v>
      </c>
      <c r="B8" s="1" t="s">
        <v>16</v>
      </c>
      <c r="C8" s="1" t="s">
        <v>17</v>
      </c>
      <c r="D8" s="1" t="n">
        <v>119</v>
      </c>
      <c r="E8" s="1" t="n">
        <v>0.578</v>
      </c>
      <c r="F8" s="1" t="n">
        <v>30.2</v>
      </c>
      <c r="G8" s="1" t="n">
        <v>3.5</v>
      </c>
      <c r="H8" s="1" t="n">
        <v>87</v>
      </c>
      <c r="I8" s="1" t="n">
        <v>3.3</v>
      </c>
      <c r="L8" s="1" t="n">
        <v>122</v>
      </c>
      <c r="O8" s="1" t="n">
        <v>77</v>
      </c>
      <c r="P8" s="1" t="n">
        <v>45.7</v>
      </c>
    </row>
    <row r="9" customFormat="false" ht="15" hidden="false" customHeight="true" outlineLevel="0" collapsed="false">
      <c r="A9" s="1" t="n">
        <v>2011</v>
      </c>
      <c r="B9" s="1" t="s">
        <v>16</v>
      </c>
      <c r="C9" s="1" t="s">
        <v>17</v>
      </c>
      <c r="D9" s="1" t="n">
        <v>134</v>
      </c>
      <c r="E9" s="1" t="n">
        <v>0.586</v>
      </c>
      <c r="F9" s="1" t="n">
        <v>21.9</v>
      </c>
      <c r="G9" s="1" t="n">
        <v>3.5</v>
      </c>
      <c r="H9" s="1" t="n">
        <v>95</v>
      </c>
      <c r="I9" s="1" t="n">
        <v>3.1</v>
      </c>
      <c r="L9" s="1" t="n">
        <v>131</v>
      </c>
      <c r="O9" s="1" t="n">
        <v>78</v>
      </c>
      <c r="P9" s="1" t="n">
        <v>46.7</v>
      </c>
    </row>
    <row r="10" customFormat="false" ht="15" hidden="false" customHeight="true" outlineLevel="0" collapsed="false">
      <c r="A10" s="1" t="n">
        <v>2012</v>
      </c>
      <c r="B10" s="1" t="s">
        <v>16</v>
      </c>
      <c r="C10" s="1" t="s">
        <v>17</v>
      </c>
      <c r="D10" s="1" t="n">
        <v>136</v>
      </c>
      <c r="E10" s="1" t="n">
        <v>0.586</v>
      </c>
      <c r="F10" s="1" t="n">
        <v>21.9</v>
      </c>
      <c r="G10" s="1" t="n">
        <v>3.6</v>
      </c>
      <c r="H10" s="1" t="n">
        <v>94</v>
      </c>
      <c r="I10" s="1" t="n">
        <v>36</v>
      </c>
      <c r="L10" s="1" t="n">
        <v>140</v>
      </c>
      <c r="O10" s="1" t="n">
        <v>82</v>
      </c>
      <c r="P10" s="1" t="n">
        <v>53.4</v>
      </c>
    </row>
    <row r="11" customFormat="false" ht="15" hidden="false" customHeight="true" outlineLevel="0" collapsed="false">
      <c r="A11" s="1" t="n">
        <v>2013</v>
      </c>
      <c r="B11" s="1" t="s">
        <v>16</v>
      </c>
      <c r="C11" s="1" t="s">
        <v>17</v>
      </c>
      <c r="D11" s="1" t="n">
        <v>135</v>
      </c>
      <c r="E11" s="1" t="n">
        <v>0.586</v>
      </c>
      <c r="F11" s="1" t="n">
        <v>21.2</v>
      </c>
      <c r="G11" s="1" t="n">
        <v>3.6</v>
      </c>
      <c r="H11" s="1" t="n">
        <v>94</v>
      </c>
      <c r="I11" s="1" t="n">
        <v>36</v>
      </c>
      <c r="J11" s="1" t="n">
        <v>7</v>
      </c>
      <c r="K11" s="1" t="n">
        <v>7.86</v>
      </c>
      <c r="L11" s="1" t="n">
        <v>140</v>
      </c>
      <c r="O11" s="1" t="n">
        <v>74</v>
      </c>
      <c r="P11" s="1" t="n">
        <v>58.6</v>
      </c>
    </row>
    <row r="12" customFormat="false" ht="15" hidden="false" customHeight="true" outlineLevel="0" collapsed="false">
      <c r="A12" s="1" t="n">
        <v>2014</v>
      </c>
      <c r="B12" s="1" t="s">
        <v>18</v>
      </c>
      <c r="C12" s="1" t="s">
        <v>19</v>
      </c>
      <c r="D12" s="1" t="n">
        <v>130</v>
      </c>
      <c r="E12" s="1" t="n">
        <v>0.609</v>
      </c>
      <c r="F12" s="1" t="n">
        <v>21.2</v>
      </c>
      <c r="G12" s="1" t="n">
        <v>3.5</v>
      </c>
      <c r="H12" s="1" t="n">
        <v>85</v>
      </c>
      <c r="I12" s="1" t="n">
        <v>38</v>
      </c>
      <c r="J12" s="1" t="n">
        <v>6</v>
      </c>
      <c r="K12" s="1" t="n">
        <v>7.86</v>
      </c>
      <c r="L12" s="1" t="n">
        <v>140</v>
      </c>
      <c r="O12" s="1" t="n">
        <v>76</v>
      </c>
      <c r="P12" s="1" t="n">
        <v>61</v>
      </c>
    </row>
    <row r="13" customFormat="false" ht="15" hidden="false" customHeight="true" outlineLevel="0" collapsed="false">
      <c r="A13" s="1" t="n">
        <v>2015</v>
      </c>
      <c r="B13" s="1" t="s">
        <v>18</v>
      </c>
      <c r="C13" s="1" t="s">
        <v>19</v>
      </c>
      <c r="D13" s="1" t="n">
        <v>130</v>
      </c>
      <c r="E13" s="1" t="n">
        <v>0.624</v>
      </c>
      <c r="F13" s="1" t="n">
        <v>21.2</v>
      </c>
      <c r="G13" s="1" t="n">
        <v>3.4</v>
      </c>
      <c r="H13" s="1" t="n">
        <v>76</v>
      </c>
      <c r="I13" s="1" t="n">
        <v>38</v>
      </c>
      <c r="J13" s="1" t="n">
        <v>8</v>
      </c>
      <c r="K13" s="1" t="n">
        <v>7.59</v>
      </c>
      <c r="L13" s="1" t="n">
        <v>136</v>
      </c>
      <c r="O13" s="1" t="n">
        <v>88</v>
      </c>
      <c r="P13" s="1" t="n">
        <v>64.2</v>
      </c>
    </row>
    <row r="14" customFormat="false" ht="15" hidden="false" customHeight="true" outlineLevel="0" collapsed="false">
      <c r="A14" s="1" t="n">
        <v>2016</v>
      </c>
      <c r="B14" s="1" t="s">
        <v>18</v>
      </c>
      <c r="C14" s="1" t="s">
        <v>19</v>
      </c>
      <c r="D14" s="1" t="n">
        <v>131</v>
      </c>
      <c r="E14" s="1" t="n">
        <v>0.64</v>
      </c>
      <c r="F14" s="1" t="n">
        <v>21.2</v>
      </c>
      <c r="G14" s="1" t="n">
        <v>3.5</v>
      </c>
      <c r="H14" s="1" t="n">
        <v>79</v>
      </c>
      <c r="I14" s="1" t="n">
        <v>40</v>
      </c>
      <c r="J14" s="1" t="n">
        <v>7</v>
      </c>
      <c r="K14" s="1" t="n">
        <v>7.43</v>
      </c>
      <c r="L14" s="1" t="n">
        <v>133</v>
      </c>
      <c r="N14" s="1" t="n">
        <v>89.1</v>
      </c>
      <c r="O14" s="1" t="n">
        <v>85</v>
      </c>
      <c r="P14" s="1" t="n">
        <v>67.2</v>
      </c>
    </row>
    <row r="15" customFormat="false" ht="15" hidden="false" customHeight="true" outlineLevel="0" collapsed="false">
      <c r="A15" s="1" t="n">
        <v>2017</v>
      </c>
      <c r="B15" s="1" t="s">
        <v>18</v>
      </c>
      <c r="C15" s="1" t="s">
        <v>19</v>
      </c>
      <c r="D15" s="1" t="n">
        <v>130</v>
      </c>
      <c r="E15" s="1" t="n">
        <v>0.64</v>
      </c>
      <c r="F15" s="1" t="n">
        <v>21.2</v>
      </c>
      <c r="G15" s="1" t="n">
        <v>3.5</v>
      </c>
      <c r="H15" s="1" t="n">
        <v>81</v>
      </c>
      <c r="I15" s="1" t="n">
        <v>40</v>
      </c>
      <c r="J15" s="1" t="n">
        <v>8</v>
      </c>
      <c r="K15" s="1" t="n">
        <v>7.18</v>
      </c>
      <c r="L15" s="1" t="n">
        <v>136</v>
      </c>
      <c r="N15" s="1" t="n">
        <v>90.2</v>
      </c>
      <c r="O15" s="1" t="n">
        <v>87</v>
      </c>
      <c r="P15" s="1" t="n">
        <v>65.1</v>
      </c>
    </row>
    <row r="16" customFormat="false" ht="15" hidden="false" customHeight="true" outlineLevel="0" collapsed="false">
      <c r="A16" s="1" t="n">
        <v>2018</v>
      </c>
      <c r="B16" s="1" t="s">
        <v>18</v>
      </c>
      <c r="C16" s="1" t="s">
        <v>19</v>
      </c>
      <c r="D16" s="1" t="n">
        <v>130</v>
      </c>
      <c r="E16" s="1" t="n">
        <v>0.647</v>
      </c>
      <c r="F16" s="1" t="n">
        <v>21.2</v>
      </c>
      <c r="G16" s="1" t="n">
        <v>3.5</v>
      </c>
      <c r="H16" s="1" t="n">
        <v>78</v>
      </c>
      <c r="I16" s="1" t="n">
        <v>41</v>
      </c>
      <c r="J16" s="1" t="n">
        <v>7</v>
      </c>
      <c r="K16" s="1" t="n">
        <v>7.52</v>
      </c>
      <c r="L16" s="1" t="n">
        <v>138</v>
      </c>
      <c r="N16" s="1" t="n">
        <v>72.5</v>
      </c>
      <c r="O16" s="1" t="n">
        <v>81</v>
      </c>
      <c r="P16" s="1" t="n">
        <v>68.4</v>
      </c>
    </row>
    <row r="17" customFormat="false" ht="15" hidden="false" customHeight="true" outlineLevel="0" collapsed="false">
      <c r="A17" s="1" t="n">
        <v>2019</v>
      </c>
      <c r="B17" s="1" t="s">
        <v>18</v>
      </c>
      <c r="C17" s="1" t="s">
        <v>19</v>
      </c>
      <c r="D17" s="1" t="n">
        <v>129</v>
      </c>
      <c r="E17" s="1" t="n">
        <v>0.645</v>
      </c>
      <c r="F17" s="1" t="n">
        <v>21.2</v>
      </c>
      <c r="G17" s="1" t="n">
        <v>5.8</v>
      </c>
      <c r="H17" s="1" t="n">
        <v>80</v>
      </c>
      <c r="I17" s="1" t="n">
        <v>41</v>
      </c>
      <c r="J17" s="1" t="n">
        <v>7</v>
      </c>
      <c r="K17" s="1" t="n">
        <v>7.3</v>
      </c>
      <c r="L17" s="1" t="n">
        <v>140</v>
      </c>
      <c r="N17" s="1" t="n">
        <v>58.1</v>
      </c>
      <c r="O17" s="1" t="n">
        <v>82</v>
      </c>
      <c r="P17" s="1" t="n">
        <v>70.4</v>
      </c>
    </row>
    <row r="18" customFormat="false" ht="15" hidden="false" customHeight="true" outlineLevel="0" collapsed="false">
      <c r="A18" s="1" t="n">
        <v>2020</v>
      </c>
      <c r="B18" s="1" t="s">
        <v>18</v>
      </c>
      <c r="C18" s="1" t="s">
        <v>19</v>
      </c>
      <c r="D18" s="1" t="n">
        <v>131</v>
      </c>
      <c r="E18" s="1" t="n">
        <v>0.633</v>
      </c>
      <c r="F18" s="1" t="n">
        <v>21.2</v>
      </c>
      <c r="G18" s="1" t="n">
        <v>8</v>
      </c>
      <c r="H18" s="1" t="n">
        <v>86</v>
      </c>
      <c r="I18" s="1" t="n">
        <v>40</v>
      </c>
      <c r="J18" s="1" t="n">
        <v>8</v>
      </c>
      <c r="K18" s="1" t="n">
        <v>7.18</v>
      </c>
      <c r="L18" s="1" t="n">
        <v>142</v>
      </c>
      <c r="N18" s="1" t="n">
        <v>51.9</v>
      </c>
      <c r="O18" s="1" t="n">
        <v>82</v>
      </c>
      <c r="P18" s="1" t="n">
        <v>74.1</v>
      </c>
    </row>
    <row r="19" customFormat="false" ht="15" hidden="false" customHeight="true" outlineLevel="0" collapsed="false">
      <c r="A19" s="1" t="n">
        <v>2021</v>
      </c>
      <c r="B19" s="1" t="s">
        <v>18</v>
      </c>
      <c r="C19" s="1" t="s">
        <v>19</v>
      </c>
      <c r="D19" s="1" t="n">
        <v>132</v>
      </c>
      <c r="E19" s="1" t="n">
        <v>0.633</v>
      </c>
      <c r="F19" s="1" t="n">
        <v>21.2</v>
      </c>
      <c r="G19" s="1" t="n">
        <v>5.98</v>
      </c>
      <c r="H19" s="1" t="n">
        <v>85</v>
      </c>
      <c r="I19" s="1" t="n">
        <v>40</v>
      </c>
      <c r="J19" s="1" t="n">
        <v>8</v>
      </c>
      <c r="K19" s="1" t="n">
        <v>7.16</v>
      </c>
      <c r="L19" s="1" t="n">
        <v>150</v>
      </c>
      <c r="N19" s="1" t="n">
        <v>58.1</v>
      </c>
      <c r="O19" s="1" t="n">
        <v>90</v>
      </c>
      <c r="P19" s="1" t="n">
        <v>73.9</v>
      </c>
    </row>
    <row r="20" customFormat="false" ht="15" hidden="false" customHeight="true" outlineLevel="0" collapsed="false">
      <c r="A20" s="1" t="n">
        <v>2022</v>
      </c>
      <c r="B20" s="1" t="s">
        <v>18</v>
      </c>
      <c r="C20" s="1" t="s">
        <v>19</v>
      </c>
      <c r="D20" s="1" t="n">
        <v>135</v>
      </c>
      <c r="E20" s="1" t="n">
        <v>0.633</v>
      </c>
      <c r="F20" s="1" t="n">
        <v>16.4</v>
      </c>
      <c r="G20" s="1" t="n">
        <v>7.33</v>
      </c>
      <c r="H20" s="1" t="n">
        <v>85</v>
      </c>
      <c r="I20" s="1" t="n">
        <v>40</v>
      </c>
      <c r="J20" s="1" t="n">
        <v>10</v>
      </c>
      <c r="K20" s="1" t="n">
        <v>6.51</v>
      </c>
      <c r="L20" s="1" t="n">
        <v>150</v>
      </c>
      <c r="N20" s="1" t="n">
        <v>53.3</v>
      </c>
      <c r="O20" s="1" t="n">
        <v>83</v>
      </c>
      <c r="P20" s="1" t="n">
        <v>80.4</v>
      </c>
    </row>
    <row r="21" customFormat="false" ht="15" hidden="false" customHeight="true" outlineLevel="0" collapsed="false">
      <c r="A21" s="1" t="n">
        <v>2023</v>
      </c>
      <c r="B21" s="1" t="s">
        <v>18</v>
      </c>
      <c r="C21" s="1" t="s">
        <v>19</v>
      </c>
      <c r="D21" s="1" t="n">
        <v>132</v>
      </c>
      <c r="E21" s="1" t="n">
        <v>0.644</v>
      </c>
      <c r="F21" s="1" t="n">
        <v>12.9</v>
      </c>
      <c r="G21" s="1" t="n">
        <v>8</v>
      </c>
      <c r="H21" s="1" t="n">
        <v>93</v>
      </c>
      <c r="I21" s="1" t="n">
        <v>39</v>
      </c>
      <c r="J21" s="1" t="n">
        <v>14</v>
      </c>
      <c r="K21" s="1" t="n">
        <v>6.01</v>
      </c>
      <c r="L21" s="1" t="n">
        <v>161</v>
      </c>
      <c r="N21" s="1" t="n">
        <v>54.4</v>
      </c>
      <c r="O21" s="1" t="n">
        <v>84</v>
      </c>
      <c r="P21" s="1" t="n">
        <v>82.8</v>
      </c>
    </row>
    <row r="22" customFormat="false" ht="15" hidden="false" customHeight="true" outlineLevel="0" collapsed="false">
      <c r="A22" s="1" t="n">
        <v>2024</v>
      </c>
      <c r="B22" s="1" t="s">
        <v>18</v>
      </c>
      <c r="C22" s="1" t="s">
        <v>19</v>
      </c>
      <c r="D22" s="1" t="n">
        <v>133</v>
      </c>
      <c r="E22" s="1" t="n">
        <v>0.676</v>
      </c>
      <c r="F22" s="1" t="n">
        <v>12.9</v>
      </c>
      <c r="G22" s="1" t="n">
        <v>7</v>
      </c>
      <c r="H22" s="1" t="n">
        <v>96</v>
      </c>
      <c r="I22" s="1" t="n">
        <v>38</v>
      </c>
      <c r="J22" s="1" t="n">
        <v>14</v>
      </c>
      <c r="K22" s="1" t="n">
        <v>6.01</v>
      </c>
      <c r="L22" s="1" t="n">
        <v>159</v>
      </c>
      <c r="N22" s="1" t="n">
        <v>50.6</v>
      </c>
      <c r="O22" s="1" t="n">
        <v>80</v>
      </c>
      <c r="P22" s="1" t="n">
        <v>83.7</v>
      </c>
    </row>
    <row r="23" customFormat="false" ht="15" hidden="false" customHeight="true" outlineLevel="0" collapsed="false">
      <c r="A23" s="1" t="n">
        <v>2025</v>
      </c>
      <c r="B23" s="1" t="s">
        <v>18</v>
      </c>
      <c r="C23" s="1" t="s">
        <v>19</v>
      </c>
      <c r="D23" s="1" t="n">
        <v>130</v>
      </c>
      <c r="E23" s="1" t="n">
        <v>0.685</v>
      </c>
      <c r="F23" s="1" t="n">
        <v>12.9</v>
      </c>
      <c r="G23" s="1" t="n">
        <v>7</v>
      </c>
      <c r="H23" s="1" t="n">
        <v>91</v>
      </c>
      <c r="I23" s="1" t="n">
        <v>39</v>
      </c>
      <c r="J23" s="1" t="n">
        <v>16</v>
      </c>
      <c r="L23" s="1" t="n">
        <v>151</v>
      </c>
      <c r="O23" s="1" t="n">
        <v>85</v>
      </c>
      <c r="P23" s="1" t="n">
        <v>86.5</v>
      </c>
    </row>
    <row r="24" customFormat="false" ht="15" hidden="false" customHeight="true" outlineLevel="0" collapsed="false">
      <c r="A24" s="1" t="n">
        <v>2026</v>
      </c>
      <c r="B24" s="1" t="s">
        <v>18</v>
      </c>
      <c r="C24" s="1" t="s">
        <v>19</v>
      </c>
      <c r="O24" s="1" t="n">
        <v>75</v>
      </c>
      <c r="P24" s="1" t="n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28"/>
  </cols>
  <sheetData>
    <row r="1" customFormat="false" ht="17.25" hidden="false" customHeight="true" outlineLevel="0" collapsed="false">
      <c r="A1" s="3" t="s">
        <v>20</v>
      </c>
      <c r="B1" s="3"/>
      <c r="C1" s="3"/>
      <c r="D1" s="3"/>
    </row>
    <row r="3" customFormat="false" ht="15" hidden="false" customHeight="true" outlineLevel="0" collapsed="false">
      <c r="A3" s="4" t="s">
        <v>21</v>
      </c>
      <c r="B3" s="4" t="s">
        <v>22</v>
      </c>
      <c r="C3" s="4" t="s">
        <v>23</v>
      </c>
      <c r="D3" s="4" t="s">
        <v>24</v>
      </c>
    </row>
    <row r="4" customFormat="false" ht="15" hidden="false" customHeight="true" outlineLevel="0" collapsed="false">
      <c r="A4" s="1" t="s">
        <v>25</v>
      </c>
      <c r="B4" s="5" t="n">
        <f aca="false">AVERAGEIFS('Raw Data'!D2:D24,'Raw Data'!A2:A24,"&lt;2014")</f>
        <v>129.9</v>
      </c>
      <c r="C4" s="5" t="n">
        <f aca="false">AVERAGEIFS('Raw Data'!D2:D24,'Raw Data'!A2:A24,"&gt;=2014")</f>
        <v>131.083333333333</v>
      </c>
      <c r="D4" s="1" t="s">
        <v>26</v>
      </c>
    </row>
    <row r="5" customFormat="false" ht="15" hidden="false" customHeight="true" outlineLevel="0" collapsed="false">
      <c r="A5" s="1" t="s">
        <v>27</v>
      </c>
      <c r="B5" s="5" t="n">
        <f aca="false">AVERAGEIFS('Raw Data'!F2:F24,'Raw Data'!A2:A24,"&lt;2014")</f>
        <v>30.58</v>
      </c>
      <c r="C5" s="5" t="n">
        <f aca="false">AVERAGEIFS('Raw Data'!F2:F24,'Raw Data'!A2:A24,"&gt;=2014")</f>
        <v>18.725</v>
      </c>
      <c r="D5" s="1" t="s">
        <v>28</v>
      </c>
    </row>
    <row r="6" customFormat="false" ht="15" hidden="false" customHeight="true" outlineLevel="0" collapsed="false">
      <c r="A6" s="1" t="s">
        <v>29</v>
      </c>
      <c r="B6" s="5" t="n">
        <f aca="false">AVERAGEIFS('Raw Data'!G2:G24,'Raw Data'!A2:A24,"&lt;2014")</f>
        <v>3.72</v>
      </c>
      <c r="C6" s="5" t="n">
        <f aca="false">AVERAGEIFS('Raw Data'!G2:G24,'Raw Data'!A2:A24,"&gt;=2014")</f>
        <v>5.5425</v>
      </c>
      <c r="D6" s="1" t="s">
        <v>30</v>
      </c>
    </row>
    <row r="7" customFormat="false" ht="15" hidden="false" customHeight="true" outlineLevel="0" collapsed="false">
      <c r="A7" s="1" t="s">
        <v>31</v>
      </c>
      <c r="B7" s="5" t="n">
        <f aca="false">AVERAGEIFS('Raw Data'!I2:I24,'Raw Data'!A2:A24,"&lt;2014")</f>
        <v>9.77</v>
      </c>
      <c r="C7" s="5" t="n">
        <f aca="false">AVERAGEIFS('Raw Data'!I2:I24,'Raw Data'!A2:A24,"&gt;=2014")</f>
        <v>39.5</v>
      </c>
      <c r="D7" s="1" t="s">
        <v>32</v>
      </c>
    </row>
    <row r="8" customFormat="false" ht="15" hidden="false" customHeight="true" outlineLevel="0" collapsed="false">
      <c r="A8" s="1" t="s">
        <v>33</v>
      </c>
      <c r="B8" s="5" t="n">
        <f aca="false">AVERAGEIFS('Raw Data'!O2:O24,'Raw Data'!A2:A24,"&lt;2014")</f>
        <v>74.7</v>
      </c>
      <c r="C8" s="5" t="n">
        <f aca="false">AVERAGEIFS('Raw Data'!O2:O24,'Raw Data'!A2:A24,"&gt;=2014")</f>
        <v>82.9230769230769</v>
      </c>
      <c r="D8" s="1" t="s">
        <v>34</v>
      </c>
    </row>
    <row r="9" customFormat="false" ht="15" hidden="false" customHeight="true" outlineLevel="0" collapsed="false">
      <c r="A9" s="1" t="s">
        <v>35</v>
      </c>
      <c r="B9" s="5" t="n">
        <f aca="false">AVERAGEIFS('Raw Data'!P2:P24,'Raw Data'!A2:A24,"&lt;2014")</f>
        <v>47.23</v>
      </c>
      <c r="C9" s="5" t="n">
        <f aca="false">AVERAGEIFS('Raw Data'!P2:P24,'Raw Data'!A2:A24,"&gt;=2014")</f>
        <v>74.1307692307692</v>
      </c>
      <c r="D9" s="1" t="s">
        <v>36</v>
      </c>
    </row>
    <row r="10" customFormat="false" ht="15" hidden="false" customHeight="true" outlineLevel="0" collapsed="false">
      <c r="A10" s="1" t="s">
        <v>37</v>
      </c>
      <c r="B10" s="5" t="str">
        <f aca="false">IFERROR(AVERAGEIFS('Raw Data'!N2:N24,'Raw Data'!A2:A24,"&lt;2014"),"No data pre-2014")</f>
        <v>No data pre-2014</v>
      </c>
      <c r="C10" s="5" t="n">
        <f aca="false">AVERAGEIFS('Raw Data'!N2:N24,'Raw Data'!A2:A24,"&gt;=2014")</f>
        <v>64.2444444444445</v>
      </c>
      <c r="D10" s="1" t="s">
        <v>38</v>
      </c>
    </row>
    <row r="11" customFormat="false" ht="15" hidden="false" customHeight="true" outlineLevel="0" collapsed="false">
      <c r="A11" s="1" t="s">
        <v>39</v>
      </c>
      <c r="B11" s="5" t="n">
        <f aca="false">AVERAGEIFS('Raw Data'!K2:K24,'Raw Data'!A2:A24,"&lt;2014")</f>
        <v>7.86</v>
      </c>
      <c r="C11" s="5" t="n">
        <f aca="false">AVERAGEIFS('Raw Data'!K2:K24,'Raw Data'!A2:A24,"&gt;=2014")</f>
        <v>7.06818181818182</v>
      </c>
      <c r="D11" s="1" t="s">
        <v>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6"/>
    <col collapsed="false" customWidth="true" hidden="false" outlineLevel="0" max="3" min="3" style="1" width="50"/>
  </cols>
  <sheetData>
    <row r="1" customFormat="false" ht="15" hidden="false" customHeight="true" outlineLevel="0" collapsed="false">
      <c r="A1" s="4" t="s">
        <v>41</v>
      </c>
      <c r="B1" s="4" t="s">
        <v>42</v>
      </c>
      <c r="C1" s="4" t="s">
        <v>43</v>
      </c>
    </row>
    <row r="2" customFormat="false" ht="15" hidden="false" customHeight="true" outlineLevel="0" collapsed="false">
      <c r="A2" s="1" t="s">
        <v>44</v>
      </c>
      <c r="B2" s="1" t="s">
        <v>45</v>
      </c>
      <c r="C2" s="1" t="s">
        <v>46</v>
      </c>
    </row>
    <row r="3" customFormat="false" ht="15" hidden="false" customHeight="true" outlineLevel="0" collapsed="false">
      <c r="A3" s="1" t="s">
        <v>47</v>
      </c>
      <c r="B3" s="1" t="s">
        <v>48</v>
      </c>
      <c r="C3" s="1" t="s">
        <v>49</v>
      </c>
    </row>
    <row r="4" customFormat="false" ht="15" hidden="false" customHeight="true" outlineLevel="0" collapsed="false">
      <c r="A4" s="1" t="s">
        <v>50</v>
      </c>
      <c r="B4" s="1" t="s">
        <v>51</v>
      </c>
      <c r="C4" s="1" t="s">
        <v>52</v>
      </c>
    </row>
    <row r="5" customFormat="false" ht="15" hidden="false" customHeight="true" outlineLevel="0" collapsed="false">
      <c r="A5" s="1" t="s">
        <v>53</v>
      </c>
      <c r="B5" s="1" t="s">
        <v>32</v>
      </c>
      <c r="C5" s="1" t="s">
        <v>54</v>
      </c>
    </row>
    <row r="6" customFormat="false" ht="15" hidden="false" customHeight="true" outlineLevel="0" collapsed="false">
      <c r="A6" s="1" t="s">
        <v>55</v>
      </c>
      <c r="B6" s="1" t="s">
        <v>56</v>
      </c>
      <c r="C6" s="1" t="s">
        <v>57</v>
      </c>
    </row>
    <row r="7" customFormat="false" ht="15" hidden="false" customHeight="true" outlineLevel="0" collapsed="false">
      <c r="A7" s="1" t="s">
        <v>58</v>
      </c>
      <c r="B7" s="1" t="s">
        <v>59</v>
      </c>
      <c r="C7" s="1" t="s">
        <v>60</v>
      </c>
    </row>
    <row r="8" customFormat="false" ht="15" hidden="false" customHeight="true" outlineLevel="0" collapsed="false">
      <c r="A8" s="1" t="s">
        <v>61</v>
      </c>
      <c r="B8" s="1" t="s">
        <v>62</v>
      </c>
      <c r="C8" s="1" t="s">
        <v>63</v>
      </c>
    </row>
    <row r="9" customFormat="false" ht="15" hidden="false" customHeight="true" outlineLevel="0" collapsed="false">
      <c r="A9" s="1" t="s">
        <v>64</v>
      </c>
      <c r="B9" s="1" t="s">
        <v>34</v>
      </c>
      <c r="C9" s="1" t="s">
        <v>65</v>
      </c>
    </row>
    <row r="10" customFormat="false" ht="15" hidden="false" customHeight="true" outlineLevel="0" collapsed="false">
      <c r="A10" s="1" t="s">
        <v>66</v>
      </c>
      <c r="B10" s="1" t="s">
        <v>67</v>
      </c>
      <c r="C10" s="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2026-06-26T12:39:47Z</dcterms:created>
  <dc:creator>openpyxl</dc:creator>
  <dc:description/>
  <dc:language>en-US</dc:language>
  <cp:lastModifiedBy/>
  <dcterms:modified xsi:type="dcterms:W3CDTF">2026-06-26T12:40:00Z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